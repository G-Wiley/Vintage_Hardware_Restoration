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8ee42248ca7e9c/Documents/Vintage Computer other/Data General/Add-on Boards Nova/DG Nova TTY Baud Rate Generator/"/>
    </mc:Choice>
  </mc:AlternateContent>
  <xr:revisionPtr revIDLastSave="77" documentId="8_{5D1BD5B3-FFC2-4543-9423-93A9A5FA1BC1}" xr6:coauthVersionLast="47" xr6:coauthVersionMax="47" xr10:uidLastSave="{19288B45-1FA4-4B59-8331-CF7B40E6ABF8}"/>
  <bookViews>
    <workbookView xWindow="4980" yWindow="9320" windowWidth="31170" windowHeight="13200" tabRatio="621" xr2:uid="{00C607E4-F5CA-4B88-8F75-FEAFAF39518F}"/>
  </bookViews>
  <sheets>
    <sheet name="Bill of 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P10" i="1"/>
  <c r="P9" i="1"/>
  <c r="P8" i="1"/>
  <c r="P6" i="1" l="1"/>
  <c r="P5" i="1" l="1"/>
  <c r="P7" i="1" l="1"/>
  <c r="P4" i="1" l="1"/>
  <c r="Q3" i="1" l="1"/>
</calcChain>
</file>

<file path=xl/sharedStrings.xml><?xml version="1.0" encoding="utf-8"?>
<sst xmlns="http://schemas.openxmlformats.org/spreadsheetml/2006/main" count="49" uniqueCount="43">
  <si>
    <t>Qty</t>
  </si>
  <si>
    <t>Description</t>
  </si>
  <si>
    <t>Supplier</t>
  </si>
  <si>
    <t>Manufacturer's part number</t>
  </si>
  <si>
    <t>cost ea</t>
  </si>
  <si>
    <t>ext cost</t>
  </si>
  <si>
    <t>Manufacturer</t>
  </si>
  <si>
    <t>Ver</t>
  </si>
  <si>
    <t>JLCPCB</t>
  </si>
  <si>
    <t>Link</t>
  </si>
  <si>
    <t>n/a</t>
  </si>
  <si>
    <t>v0</t>
  </si>
  <si>
    <t>Digikey</t>
  </si>
  <si>
    <t>Ref. Des.</t>
  </si>
  <si>
    <t>DG-Nova-TTY-Baud-Rate-Generator</t>
  </si>
  <si>
    <t>PCB, Gerber_PCB_DG-Nova-Baud-Rate-Gen-v0_2025-12-05</t>
  </si>
  <si>
    <t>Gerber_PCB_DG-Nova-Baud-Rate-Gen-v0_2025-12-05.zip</t>
  </si>
  <si>
    <t>XTAL OSC XO 4.9152MHZ HCMOS TH</t>
  </si>
  <si>
    <t>CTS-Frequency Controls</t>
  </si>
  <si>
    <t>MXO45HS-3C-4M915200</t>
  </si>
  <si>
    <t>https://www.digikey.com/en/products/detail/cts-frequency-controls/MXO45HS-3C-4M915200/1801878</t>
  </si>
  <si>
    <t>IC, SN74HCT393N, IC BINARY COUNTER DL 4BIT 14DIP</t>
  </si>
  <si>
    <t>Texas Instruments</t>
  </si>
  <si>
    <t>SN74HCT393N</t>
  </si>
  <si>
    <t>https://www.digikey.com/en/products/detail/texas-instruments/CD74HCT393E/38549</t>
  </si>
  <si>
    <t>TDK</t>
  </si>
  <si>
    <t>FG28X7R1H104KNT00</t>
  </si>
  <si>
    <t>https://www.digikey.com/en/products/detail/tdk/FG28X7R1H104KNT00/7326852</t>
  </si>
  <si>
    <t>CAP CER 0.1UF 50V X7R RADIAL</t>
  </si>
  <si>
    <t>U2</t>
  </si>
  <si>
    <t>U1</t>
  </si>
  <si>
    <t>C2</t>
  </si>
  <si>
    <t>C1</t>
  </si>
  <si>
    <t>CAP CER 0.1UF 50V X7R 2-DIP</t>
  </si>
  <si>
    <t>KYOCERA AVX</t>
  </si>
  <si>
    <t>MD015C104KAB</t>
  </si>
  <si>
    <t>optional alternative package for C2 (I have a huge bag-full of these)</t>
  </si>
  <si>
    <t>RS1-05-G</t>
  </si>
  <si>
    <t>RS1-06-G</t>
  </si>
  <si>
    <t>optional 5-pin socket strip, RECEPTACLE STRIP 5P 2.54MM PITCH</t>
  </si>
  <si>
    <t>optional 6-pin socket strip, RECEPTACLE STRIP 6P 2.54MM PITCH</t>
  </si>
  <si>
    <t>6-pin socket strip or cut a piece from a machine contact IC socket</t>
  </si>
  <si>
    <t>5-pin socket strip or cut a piece from a machine contact IC socket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</si>
</sst>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/>
      <right style="thick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0" borderId="0" xfId="1"/>
    <xf numFmtId="164" fontId="1" fillId="0" borderId="0" xfId="0" applyNumberFormat="1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164" fontId="0" fillId="2" borderId="0" xfId="0" applyNumberFormat="1" applyFill="1"/>
    <xf numFmtId="164" fontId="0" fillId="2" borderId="1" xfId="0" applyNumberFormat="1" applyFill="1" applyBorder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tdk/FG28X7R1H104KNT00/7326852" TargetMode="External"/><Relationship Id="rId2" Type="http://schemas.openxmlformats.org/officeDocument/2006/relationships/hyperlink" Target="https://www.digikey.com/en/products/detail/texas-instruments/CD74HCT393E/38549" TargetMode="External"/><Relationship Id="rId1" Type="http://schemas.openxmlformats.org/officeDocument/2006/relationships/hyperlink" Target="https://www.digikey.com/en/products/detail/cts-frequency-controls/MXO45HS-3C-4M915200/1801878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35690-F76C-4733-9A59-A1D3B764B504}">
  <sheetPr>
    <pageSetUpPr fitToPage="1"/>
  </sheetPr>
  <dimension ref="A1:Q11"/>
  <sheetViews>
    <sheetView tabSelected="1" zoomScale="90" zoomScaleNormal="90" workbookViewId="0">
      <selection activeCell="M11" sqref="M11"/>
    </sheetView>
  </sheetViews>
  <sheetFormatPr defaultRowHeight="14.5" x14ac:dyDescent="0.35"/>
  <cols>
    <col min="1" max="1" width="6.54296875" style="1" customWidth="1"/>
    <col min="2" max="4" width="4.54296875" style="1" customWidth="1"/>
    <col min="5" max="5" width="2.54296875" style="1" customWidth="1"/>
    <col min="6" max="6" width="5.54296875" style="2" customWidth="1"/>
    <col min="7" max="7" width="8.26953125" style="9" bestFit="1" customWidth="1"/>
    <col min="8" max="8" width="56.08984375" bestFit="1" customWidth="1"/>
    <col min="9" max="9" width="4.54296875" customWidth="1"/>
    <col min="10" max="10" width="26.7265625" bestFit="1" customWidth="1"/>
    <col min="11" max="11" width="25.54296875" customWidth="1"/>
    <col min="12" max="12" width="15.54296875" customWidth="1"/>
    <col min="13" max="13" width="87.453125" customWidth="1"/>
    <col min="14" max="14" width="1.81640625" bestFit="1" customWidth="1"/>
    <col min="15" max="15" width="9.54296875" style="4" customWidth="1"/>
    <col min="16" max="17" width="9.54296875" customWidth="1"/>
    <col min="19" max="19" width="9.7265625" bestFit="1" customWidth="1"/>
    <col min="21" max="21" width="11.1796875" bestFit="1" customWidth="1"/>
    <col min="22" max="23" width="11.54296875" bestFit="1" customWidth="1"/>
  </cols>
  <sheetData>
    <row r="1" spans="2:17" x14ac:dyDescent="0.35">
      <c r="F1" s="3" t="s">
        <v>0</v>
      </c>
      <c r="G1" s="10" t="s">
        <v>13</v>
      </c>
      <c r="H1" s="1" t="s">
        <v>1</v>
      </c>
      <c r="I1" s="1" t="s">
        <v>7</v>
      </c>
      <c r="J1" s="1" t="s">
        <v>6</v>
      </c>
      <c r="K1" s="1" t="s">
        <v>3</v>
      </c>
      <c r="L1" s="1" t="s">
        <v>2</v>
      </c>
      <c r="M1" s="1" t="s">
        <v>9</v>
      </c>
      <c r="N1" s="1"/>
      <c r="O1" s="6" t="s">
        <v>4</v>
      </c>
      <c r="P1" s="3" t="s">
        <v>5</v>
      </c>
    </row>
    <row r="2" spans="2:17" x14ac:dyDescent="0.35">
      <c r="P2" s="8"/>
      <c r="Q2" s="4"/>
    </row>
    <row r="3" spans="2:17" x14ac:dyDescent="0.35">
      <c r="B3" s="11" t="s">
        <v>14</v>
      </c>
      <c r="C3" s="11"/>
      <c r="D3" s="11"/>
      <c r="E3" s="11"/>
      <c r="F3" s="12"/>
      <c r="G3" s="13"/>
      <c r="H3" s="14"/>
      <c r="I3" s="14"/>
      <c r="J3" s="14"/>
      <c r="K3" s="14"/>
      <c r="L3" s="14"/>
      <c r="M3" s="14"/>
      <c r="N3" s="14"/>
      <c r="O3" s="15"/>
      <c r="P3" s="14"/>
      <c r="Q3" s="16">
        <f>SUM(P3:P11)</f>
        <v>4.0440000000000005</v>
      </c>
    </row>
    <row r="4" spans="2:17" x14ac:dyDescent="0.35">
      <c r="F4" s="2">
        <v>1</v>
      </c>
      <c r="H4" t="s">
        <v>15</v>
      </c>
      <c r="I4" t="s">
        <v>11</v>
      </c>
      <c r="J4" t="s">
        <v>8</v>
      </c>
      <c r="K4" t="s">
        <v>10</v>
      </c>
      <c r="L4" t="s">
        <v>8</v>
      </c>
      <c r="M4" t="s">
        <v>16</v>
      </c>
      <c r="O4" s="4">
        <f>6.57/5</f>
        <v>1.3140000000000001</v>
      </c>
      <c r="P4" s="4">
        <f t="shared" ref="P4" si="0">F4*O4</f>
        <v>1.3140000000000001</v>
      </c>
      <c r="Q4" s="7"/>
    </row>
    <row r="5" spans="2:17" x14ac:dyDescent="0.35">
      <c r="F5" s="2">
        <v>1</v>
      </c>
      <c r="G5" s="9" t="s">
        <v>30</v>
      </c>
      <c r="H5" s="17" t="s">
        <v>21</v>
      </c>
      <c r="J5" s="17" t="s">
        <v>22</v>
      </c>
      <c r="K5" t="s">
        <v>23</v>
      </c>
      <c r="L5" t="s">
        <v>12</v>
      </c>
      <c r="M5" s="5" t="s">
        <v>24</v>
      </c>
      <c r="O5" s="4">
        <v>0.77</v>
      </c>
      <c r="P5" s="4">
        <f>F5*O5</f>
        <v>0.77</v>
      </c>
      <c r="Q5" s="7"/>
    </row>
    <row r="6" spans="2:17" x14ac:dyDescent="0.35">
      <c r="F6" s="2">
        <v>1</v>
      </c>
      <c r="G6" s="9" t="s">
        <v>29</v>
      </c>
      <c r="H6" s="17" t="s">
        <v>17</v>
      </c>
      <c r="J6" t="s">
        <v>18</v>
      </c>
      <c r="K6" t="s">
        <v>19</v>
      </c>
      <c r="L6" t="s">
        <v>12</v>
      </c>
      <c r="M6" s="5" t="s">
        <v>20</v>
      </c>
      <c r="O6" s="4">
        <v>1.73</v>
      </c>
      <c r="P6" s="4">
        <f t="shared" ref="P6" si="1">F6*O6</f>
        <v>1.73</v>
      </c>
      <c r="Q6" s="7"/>
    </row>
    <row r="7" spans="2:17" x14ac:dyDescent="0.35">
      <c r="F7" s="2">
        <v>1</v>
      </c>
      <c r="G7" s="9" t="s">
        <v>31</v>
      </c>
      <c r="H7" t="s">
        <v>28</v>
      </c>
      <c r="J7" t="s">
        <v>25</v>
      </c>
      <c r="K7" t="s">
        <v>26</v>
      </c>
      <c r="L7" t="s">
        <v>12</v>
      </c>
      <c r="M7" s="5" t="s">
        <v>27</v>
      </c>
      <c r="O7" s="4">
        <v>0.23</v>
      </c>
      <c r="P7" s="4">
        <f>F7*O7</f>
        <v>0.23</v>
      </c>
      <c r="Q7" s="7"/>
    </row>
    <row r="8" spans="2:17" x14ac:dyDescent="0.35">
      <c r="F8" s="2">
        <v>0</v>
      </c>
      <c r="G8" s="9" t="s">
        <v>32</v>
      </c>
      <c r="H8" s="17" t="s">
        <v>33</v>
      </c>
      <c r="J8" t="s">
        <v>34</v>
      </c>
      <c r="K8" t="s">
        <v>35</v>
      </c>
      <c r="L8" t="s">
        <v>12</v>
      </c>
      <c r="M8" t="s">
        <v>36</v>
      </c>
      <c r="O8" s="4">
        <v>5.82</v>
      </c>
      <c r="P8" s="4">
        <f t="shared" ref="P8:P10" si="2">F8*O8</f>
        <v>0</v>
      </c>
      <c r="Q8" s="7"/>
    </row>
    <row r="9" spans="2:17" x14ac:dyDescent="0.35">
      <c r="F9" s="2">
        <v>0</v>
      </c>
      <c r="H9" t="s">
        <v>40</v>
      </c>
      <c r="K9" s="17" t="s">
        <v>38</v>
      </c>
      <c r="L9" t="s">
        <v>12</v>
      </c>
      <c r="M9" t="s">
        <v>41</v>
      </c>
      <c r="P9" s="4">
        <f t="shared" si="2"/>
        <v>0</v>
      </c>
      <c r="Q9" s="7"/>
    </row>
    <row r="10" spans="2:17" x14ac:dyDescent="0.35">
      <c r="F10" s="2">
        <v>0</v>
      </c>
      <c r="H10" t="s">
        <v>39</v>
      </c>
      <c r="K10" s="17" t="s">
        <v>37</v>
      </c>
      <c r="L10" t="s">
        <v>12</v>
      </c>
      <c r="M10" t="s">
        <v>42</v>
      </c>
      <c r="P10" s="4">
        <f t="shared" si="2"/>
        <v>0</v>
      </c>
      <c r="Q10" s="7"/>
    </row>
    <row r="11" spans="2:17" x14ac:dyDescent="0.35">
      <c r="Q11" s="7"/>
    </row>
  </sheetData>
  <hyperlinks>
    <hyperlink ref="M6" r:id="rId1" xr:uid="{FEFC5BC2-F497-44C6-975D-C1032DF7CA3F}"/>
    <hyperlink ref="M5" r:id="rId2" xr:uid="{1B58059A-F019-4A76-82D2-3A6FC03B81A7}"/>
    <hyperlink ref="M7" r:id="rId3" xr:uid="{1230AAD5-3267-46A4-921B-E4F8C80F3ED7}"/>
  </hyperlinks>
  <pageMargins left="0.25" right="0.25" top="0.75" bottom="0.75" header="0.3" footer="0.3"/>
  <pageSetup scale="10" orientation="landscape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Wiley</dc:creator>
  <cp:lastModifiedBy>George Wiley</cp:lastModifiedBy>
  <cp:lastPrinted>2025-04-06T18:06:23Z</cp:lastPrinted>
  <dcterms:created xsi:type="dcterms:W3CDTF">2023-08-11T05:23:19Z</dcterms:created>
  <dcterms:modified xsi:type="dcterms:W3CDTF">2026-04-20T15:50:20Z</dcterms:modified>
</cp:coreProperties>
</file>