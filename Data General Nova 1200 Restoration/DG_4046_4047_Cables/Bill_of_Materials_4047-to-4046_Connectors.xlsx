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8ee42248ca7e9c/Documents/Vintage Computer other/Data General/Add-on Boards Nova/4047 Logic Interface/"/>
    </mc:Choice>
  </mc:AlternateContent>
  <xr:revisionPtr revIDLastSave="394" documentId="8_{291863AF-43BD-4773-AC18-7AD65028538B}" xr6:coauthVersionLast="47" xr6:coauthVersionMax="47" xr10:uidLastSave="{46AB9587-B505-45DC-B4A7-3C0BDD5C7871}"/>
  <bookViews>
    <workbookView xWindow="1560" yWindow="3130" windowWidth="29050" windowHeight="10760" tabRatio="621" xr2:uid="{00C607E4-F5CA-4B88-8F75-FEAFAF39518F}"/>
  </bookViews>
  <sheets>
    <sheet name="Bill of 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4" i="1"/>
  <c r="O6" i="1"/>
  <c r="O13" i="1"/>
  <c r="O9" i="1"/>
  <c r="O5" i="1"/>
  <c r="P19" i="1" l="1"/>
  <c r="Q18" i="1" s="1"/>
  <c r="P16" i="1" l="1"/>
  <c r="Q15" i="1" s="1"/>
  <c r="P6" i="1"/>
  <c r="P13" i="1"/>
  <c r="P12" i="1"/>
  <c r="O8" i="1"/>
  <c r="O7" i="1"/>
  <c r="P5" i="1"/>
  <c r="Q11" i="1" l="1"/>
  <c r="P7" i="1"/>
  <c r="P8" i="1" l="1"/>
  <c r="P4" i="1" l="1"/>
  <c r="P9" i="1"/>
  <c r="Q3" i="1" l="1"/>
  <c r="Q21" i="1" s="1"/>
</calcChain>
</file>

<file path=xl/sharedStrings.xml><?xml version="1.0" encoding="utf-8"?>
<sst xmlns="http://schemas.openxmlformats.org/spreadsheetml/2006/main" count="71" uniqueCount="53">
  <si>
    <t>Qty</t>
  </si>
  <si>
    <t>Description</t>
  </si>
  <si>
    <t>Supplier</t>
  </si>
  <si>
    <t>Manufacturer's part number</t>
  </si>
  <si>
    <t>cost ea</t>
  </si>
  <si>
    <t>ext cost</t>
  </si>
  <si>
    <t>Amazon</t>
  </si>
  <si>
    <t>Manufacturer</t>
  </si>
  <si>
    <t>Ver</t>
  </si>
  <si>
    <t>JLCPCB</t>
  </si>
  <si>
    <t>Link</t>
  </si>
  <si>
    <t>J1</t>
  </si>
  <si>
    <t>n/a</t>
  </si>
  <si>
    <t>PCB, PCB_DG-Nova-4047-Disk-Adapter-Conn</t>
  </si>
  <si>
    <t>v0</t>
  </si>
  <si>
    <t>PCB, DG-Nova-CPU-Side-Disk-Adapter-Conn</t>
  </si>
  <si>
    <t>DG-Nova-4047-Disk-Adapter-Conn</t>
  </si>
  <si>
    <t>DG-Nova-CPU-Side-Disk-Adapter-Conn</t>
  </si>
  <si>
    <t>socket pin</t>
  </si>
  <si>
    <t>Digikey</t>
  </si>
  <si>
    <t>v00</t>
  </si>
  <si>
    <t>Spacer, DG Nova 4047 Disk Adapter Connector Spacer</t>
  </si>
  <si>
    <t>M2 x 8mm screw, steel</t>
  </si>
  <si>
    <t>M2 Stainless Steel Nylock Self Locking Nut</t>
  </si>
  <si>
    <t>https://www.amazon.com/gp/product/B01M5DVI7A</t>
  </si>
  <si>
    <t>https://www.amazon.com/gp/product/B07L2W3QX3</t>
  </si>
  <si>
    <t>J2, J3</t>
  </si>
  <si>
    <t>Amphenol ICC (FCI)</t>
  </si>
  <si>
    <t>Nova Chassis Wiring</t>
  </si>
  <si>
    <t>Nova CPU to 4047 Cable</t>
  </si>
  <si>
    <t>J1, J2</t>
  </si>
  <si>
    <t>Header, 26-pin, vertical, with ejectors</t>
  </si>
  <si>
    <t>Header, 26-pin, vertical, with ejectors, with wire-wrap pins</t>
  </si>
  <si>
    <t>Wire-wrap wire, 30 AWG, 100 ft, green</t>
  </si>
  <si>
    <t>https://www.digikey.com/en/products/detail/mill-max-manufacturing-corp/8827-0-15-15-16-27-04-0/4440738</t>
  </si>
  <si>
    <t>https://www.digikey.com/en/products/detail/amphenol-cs-fci/86130262114345E1LF/5201635</t>
  </si>
  <si>
    <t>86130262114345E1LF</t>
  </si>
  <si>
    <t>8827-0-15-15-16-27-04-0</t>
  </si>
  <si>
    <t>https://www.digikey.com/en/products/detail/cw-industries/CWN-370-26-0000/9736</t>
  </si>
  <si>
    <t>CW Industries</t>
  </si>
  <si>
    <t>CWN-370-26-0000</t>
  </si>
  <si>
    <t>https://www.amazon.com/dp/B00IKDI35I</t>
  </si>
  <si>
    <t>Jonard Tools</t>
  </si>
  <si>
    <t>R30G-0100</t>
  </si>
  <si>
    <t>26-pin flat cable, Type-A, 1M, 2x13 pin</t>
  </si>
  <si>
    <t>AliExpress</t>
  </si>
  <si>
    <t>https://www.aliexpress.us/item/3256804576275377.html</t>
  </si>
  <si>
    <t>TOTAL COST</t>
  </si>
  <si>
    <t>DG Nova 4047 Disk Adapter Connector Spacer v00.stl</t>
  </si>
  <si>
    <t>Gerber_PCB_DG-Nova-4047-Disk-Adapter-Conn-v0_2025-12-25.zip</t>
  </si>
  <si>
    <t>Gerber_PCB_DG-Nova-CPU-Side-Disk-Adapter-Conn_2025-12-25.zip</t>
  </si>
  <si>
    <t>Mill-Max Manufacturing Corp.</t>
  </si>
  <si>
    <t>Ref. 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</si>
</sst>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1"/>
    <xf numFmtId="164" fontId="1" fillId="0" borderId="0" xfId="0" applyNumberFormat="1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164" fontId="0" fillId="2" borderId="0" xfId="0" applyNumberFormat="1" applyFill="1"/>
    <xf numFmtId="164" fontId="0" fillId="2" borderId="1" xfId="0" applyNumberFormat="1" applyFill="1" applyBorder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164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om/en/products/detail/mill-max-manufacturing-corp/8827-0-15-15-16-27-04-0/4440738" TargetMode="External"/><Relationship Id="rId7" Type="http://schemas.openxmlformats.org/officeDocument/2006/relationships/hyperlink" Target="https://www.aliexpress.us/item/3256804576275377.html" TargetMode="External"/><Relationship Id="rId2" Type="http://schemas.openxmlformats.org/officeDocument/2006/relationships/hyperlink" Target="https://www.amazon.com/gp/product/B01M5DVI7A" TargetMode="External"/><Relationship Id="rId1" Type="http://schemas.openxmlformats.org/officeDocument/2006/relationships/hyperlink" Target="https://www.amazon.com/gp/product/B07L2W3QX3" TargetMode="External"/><Relationship Id="rId6" Type="http://schemas.openxmlformats.org/officeDocument/2006/relationships/hyperlink" Target="https://www.amazon.com/dp/B00IKDI35I" TargetMode="External"/><Relationship Id="rId5" Type="http://schemas.openxmlformats.org/officeDocument/2006/relationships/hyperlink" Target="https://www.digikey.com/en/products/detail/cw-industries/CWN-370-26-0000/9736" TargetMode="External"/><Relationship Id="rId4" Type="http://schemas.openxmlformats.org/officeDocument/2006/relationships/hyperlink" Target="https://www.digikey.com/en/products/detail/amphenol-cs-fci/86130262114345E1LF/5201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5690-F76C-4733-9A59-A1D3B764B504}">
  <sheetPr>
    <pageSetUpPr fitToPage="1"/>
  </sheetPr>
  <dimension ref="A1:Q21"/>
  <sheetViews>
    <sheetView tabSelected="1" zoomScale="90" zoomScaleNormal="90" workbookViewId="0">
      <selection activeCell="G2" sqref="G2"/>
    </sheetView>
  </sheetViews>
  <sheetFormatPr defaultRowHeight="14.5" x14ac:dyDescent="0.35"/>
  <cols>
    <col min="1" max="1" width="6.54296875" style="1" customWidth="1"/>
    <col min="2" max="4" width="4.54296875" style="1" customWidth="1"/>
    <col min="5" max="5" width="2.54296875" style="1" customWidth="1"/>
    <col min="6" max="6" width="5.54296875" style="2" customWidth="1"/>
    <col min="7" max="7" width="8.26953125" style="9" bestFit="1" customWidth="1"/>
    <col min="8" max="8" width="52.453125" customWidth="1"/>
    <col min="9" max="9" width="4.54296875" customWidth="1"/>
    <col min="10" max="10" width="26.7265625" bestFit="1" customWidth="1"/>
    <col min="11" max="11" width="25.54296875" customWidth="1"/>
    <col min="12" max="12" width="15.54296875" customWidth="1"/>
    <col min="13" max="13" width="87.453125" customWidth="1"/>
    <col min="14" max="14" width="1.81640625" bestFit="1" customWidth="1"/>
    <col min="15" max="15" width="9.54296875" style="4" customWidth="1"/>
    <col min="16" max="17" width="9.54296875" customWidth="1"/>
    <col min="19" max="19" width="9.7265625" bestFit="1" customWidth="1"/>
    <col min="21" max="21" width="11.1796875" bestFit="1" customWidth="1"/>
    <col min="22" max="23" width="11.54296875" bestFit="1" customWidth="1"/>
  </cols>
  <sheetData>
    <row r="1" spans="2:17" x14ac:dyDescent="0.35">
      <c r="F1" s="3" t="s">
        <v>0</v>
      </c>
      <c r="G1" s="10" t="s">
        <v>52</v>
      </c>
      <c r="H1" s="1" t="s">
        <v>1</v>
      </c>
      <c r="I1" s="1" t="s">
        <v>8</v>
      </c>
      <c r="J1" s="1" t="s">
        <v>7</v>
      </c>
      <c r="K1" s="1" t="s">
        <v>3</v>
      </c>
      <c r="L1" s="1" t="s">
        <v>2</v>
      </c>
      <c r="M1" s="1" t="s">
        <v>10</v>
      </c>
      <c r="N1" s="1"/>
      <c r="O1" s="6" t="s">
        <v>4</v>
      </c>
      <c r="P1" s="3" t="s">
        <v>5</v>
      </c>
    </row>
    <row r="2" spans="2:17" x14ac:dyDescent="0.35">
      <c r="P2" s="8"/>
      <c r="Q2" s="4"/>
    </row>
    <row r="3" spans="2:17" x14ac:dyDescent="0.35">
      <c r="B3" s="11" t="s">
        <v>16</v>
      </c>
      <c r="C3" s="11"/>
      <c r="D3" s="11"/>
      <c r="E3" s="11"/>
      <c r="F3" s="12"/>
      <c r="G3" s="13"/>
      <c r="H3" s="14"/>
      <c r="I3" s="14"/>
      <c r="J3" s="14"/>
      <c r="K3" s="14"/>
      <c r="L3" s="14"/>
      <c r="M3" s="14"/>
      <c r="N3" s="14"/>
      <c r="O3" s="15"/>
      <c r="P3" s="14"/>
      <c r="Q3" s="16">
        <f>SUM(P3:P10)</f>
        <v>37.388432894736837</v>
      </c>
    </row>
    <row r="4" spans="2:17" x14ac:dyDescent="0.35">
      <c r="F4" s="2">
        <v>1</v>
      </c>
      <c r="H4" t="s">
        <v>13</v>
      </c>
      <c r="I4" t="s">
        <v>14</v>
      </c>
      <c r="J4" t="s">
        <v>9</v>
      </c>
      <c r="K4" t="s">
        <v>12</v>
      </c>
      <c r="L4" t="s">
        <v>9</v>
      </c>
      <c r="M4" t="s">
        <v>49</v>
      </c>
      <c r="O4" s="4">
        <f>(6.3/(6.3+3.2))*13.36/5</f>
        <v>1.771957894736842</v>
      </c>
      <c r="P4" s="4">
        <f t="shared" ref="P4:P9" si="0">F4*O4</f>
        <v>1.771957894736842</v>
      </c>
      <c r="Q4" s="7"/>
    </row>
    <row r="5" spans="2:17" x14ac:dyDescent="0.35">
      <c r="F5" s="2">
        <v>50</v>
      </c>
      <c r="G5" s="9" t="s">
        <v>11</v>
      </c>
      <c r="H5" t="s">
        <v>18</v>
      </c>
      <c r="J5" t="s">
        <v>51</v>
      </c>
      <c r="K5" t="s">
        <v>37</v>
      </c>
      <c r="L5" t="s">
        <v>19</v>
      </c>
      <c r="M5" s="5" t="s">
        <v>34</v>
      </c>
      <c r="O5" s="4">
        <f>0.5324*1.0775+(6.99/3/100)</f>
        <v>0.59696099999999996</v>
      </c>
      <c r="P5" s="4">
        <f t="shared" si="0"/>
        <v>29.848049999999997</v>
      </c>
      <c r="Q5" s="7"/>
    </row>
    <row r="6" spans="2:17" x14ac:dyDescent="0.35">
      <c r="F6" s="2">
        <v>1</v>
      </c>
      <c r="H6" t="s">
        <v>21</v>
      </c>
      <c r="I6" t="s">
        <v>20</v>
      </c>
      <c r="J6" t="s">
        <v>12</v>
      </c>
      <c r="K6" t="s">
        <v>12</v>
      </c>
      <c r="L6" t="s">
        <v>9</v>
      </c>
      <c r="M6" t="s">
        <v>48</v>
      </c>
      <c r="O6" s="4">
        <f>11.04/5</f>
        <v>2.2079999999999997</v>
      </c>
      <c r="P6" s="4">
        <f t="shared" ref="P6" si="1">F6*O6</f>
        <v>2.2079999999999997</v>
      </c>
      <c r="Q6" s="7"/>
    </row>
    <row r="7" spans="2:17" x14ac:dyDescent="0.35">
      <c r="F7" s="2">
        <v>2</v>
      </c>
      <c r="H7" t="s">
        <v>22</v>
      </c>
      <c r="J7" t="s">
        <v>12</v>
      </c>
      <c r="K7" t="s">
        <v>12</v>
      </c>
      <c r="L7" t="s">
        <v>6</v>
      </c>
      <c r="M7" s="5" t="s">
        <v>24</v>
      </c>
      <c r="O7" s="4">
        <f>4*6.35/800</f>
        <v>3.175E-2</v>
      </c>
      <c r="P7" s="4">
        <f t="shared" si="0"/>
        <v>6.3500000000000001E-2</v>
      </c>
      <c r="Q7" s="7"/>
    </row>
    <row r="8" spans="2:17" x14ac:dyDescent="0.35">
      <c r="F8" s="2">
        <v>2</v>
      </c>
      <c r="H8" t="s">
        <v>23</v>
      </c>
      <c r="J8" t="s">
        <v>12</v>
      </c>
      <c r="K8" t="s">
        <v>12</v>
      </c>
      <c r="L8" t="s">
        <v>6</v>
      </c>
      <c r="M8" s="5" t="s">
        <v>25</v>
      </c>
      <c r="O8" s="4">
        <f>3*6.35/800</f>
        <v>2.3812499999999997E-2</v>
      </c>
      <c r="P8" s="4">
        <f t="shared" si="0"/>
        <v>4.7624999999999994E-2</v>
      </c>
      <c r="Q8" s="7"/>
    </row>
    <row r="9" spans="2:17" x14ac:dyDescent="0.35">
      <c r="F9" s="2">
        <v>2</v>
      </c>
      <c r="G9" s="9" t="s">
        <v>26</v>
      </c>
      <c r="H9" t="s">
        <v>31</v>
      </c>
      <c r="J9" t="s">
        <v>27</v>
      </c>
      <c r="K9" t="s">
        <v>36</v>
      </c>
      <c r="L9" t="s">
        <v>19</v>
      </c>
      <c r="M9" s="5" t="s">
        <v>35</v>
      </c>
      <c r="O9" s="4">
        <f>1.06*1.0775+(6.99/3/4)</f>
        <v>1.72465</v>
      </c>
      <c r="P9" s="4">
        <f t="shared" si="0"/>
        <v>3.4493</v>
      </c>
      <c r="Q9" s="7"/>
    </row>
    <row r="10" spans="2:17" x14ac:dyDescent="0.35">
      <c r="Q10" s="7"/>
    </row>
    <row r="11" spans="2:17" x14ac:dyDescent="0.35">
      <c r="B11" s="11" t="s">
        <v>17</v>
      </c>
      <c r="C11" s="11"/>
      <c r="D11" s="11"/>
      <c r="E11" s="11"/>
      <c r="F11" s="12"/>
      <c r="G11" s="13"/>
      <c r="H11" s="14"/>
      <c r="I11" s="14"/>
      <c r="J11" s="14"/>
      <c r="K11" s="14"/>
      <c r="L11" s="14"/>
      <c r="M11" s="14"/>
      <c r="N11" s="14"/>
      <c r="O11" s="15"/>
      <c r="P11" s="14"/>
      <c r="Q11" s="16">
        <f>SUM(P11:P14)</f>
        <v>14.089942105263155</v>
      </c>
    </row>
    <row r="12" spans="2:17" x14ac:dyDescent="0.35">
      <c r="F12" s="2">
        <v>1</v>
      </c>
      <c r="H12" t="s">
        <v>15</v>
      </c>
      <c r="I12" t="s">
        <v>14</v>
      </c>
      <c r="J12" t="s">
        <v>9</v>
      </c>
      <c r="K12" t="s">
        <v>12</v>
      </c>
      <c r="L12" t="s">
        <v>9</v>
      </c>
      <c r="M12" t="s">
        <v>50</v>
      </c>
      <c r="O12" s="4">
        <f>(3.2/(6.3+3.2))*13.36/5</f>
        <v>0.90004210526315787</v>
      </c>
      <c r="P12" s="4">
        <f>F12*O12</f>
        <v>0.90004210526315787</v>
      </c>
      <c r="Q12" s="7"/>
    </row>
    <row r="13" spans="2:17" x14ac:dyDescent="0.35">
      <c r="F13" s="2">
        <v>2</v>
      </c>
      <c r="G13" s="9" t="s">
        <v>30</v>
      </c>
      <c r="H13" t="s">
        <v>32</v>
      </c>
      <c r="J13" t="s">
        <v>39</v>
      </c>
      <c r="K13" t="s">
        <v>40</v>
      </c>
      <c r="L13" t="s">
        <v>19</v>
      </c>
      <c r="M13" s="5" t="s">
        <v>38</v>
      </c>
      <c r="O13" s="4">
        <f>5.58*1.0775+(6.99/3/4)</f>
        <v>6.594949999999999</v>
      </c>
      <c r="P13" s="4">
        <f>F13*O13</f>
        <v>13.189899999999998</v>
      </c>
      <c r="Q13" s="7"/>
    </row>
    <row r="15" spans="2:17" x14ac:dyDescent="0.35">
      <c r="B15" s="11" t="s">
        <v>29</v>
      </c>
      <c r="C15" s="11"/>
      <c r="D15" s="11"/>
      <c r="E15" s="11"/>
      <c r="F15" s="12"/>
      <c r="G15" s="13"/>
      <c r="H15" s="14"/>
      <c r="I15" s="14"/>
      <c r="J15" s="14"/>
      <c r="K15" s="14"/>
      <c r="L15" s="14"/>
      <c r="M15" s="14"/>
      <c r="N15" s="14"/>
      <c r="O15" s="15"/>
      <c r="P15" s="14"/>
      <c r="Q15" s="16">
        <f>SUM(P15:P17)</f>
        <v>15.6</v>
      </c>
    </row>
    <row r="16" spans="2:17" x14ac:dyDescent="0.35">
      <c r="F16" s="2">
        <v>2</v>
      </c>
      <c r="H16" t="s">
        <v>44</v>
      </c>
      <c r="J16" t="s">
        <v>12</v>
      </c>
      <c r="K16" t="s">
        <v>12</v>
      </c>
      <c r="L16" t="s">
        <v>45</v>
      </c>
      <c r="M16" s="5" t="s">
        <v>46</v>
      </c>
      <c r="O16" s="4">
        <v>7.8</v>
      </c>
      <c r="P16" s="4">
        <f t="shared" ref="P16" si="2">F16*O16</f>
        <v>15.6</v>
      </c>
      <c r="Q16" s="7"/>
    </row>
    <row r="18" spans="2:17" x14ac:dyDescent="0.35">
      <c r="B18" s="11" t="s">
        <v>28</v>
      </c>
      <c r="C18" s="11"/>
      <c r="D18" s="11"/>
      <c r="E18" s="11"/>
      <c r="F18" s="12"/>
      <c r="G18" s="13"/>
      <c r="H18" s="14"/>
      <c r="I18" s="14"/>
      <c r="J18" s="14"/>
      <c r="K18" s="14"/>
      <c r="L18" s="14"/>
      <c r="M18" s="14"/>
      <c r="N18" s="14"/>
      <c r="O18" s="15"/>
      <c r="P18" s="14"/>
      <c r="Q18" s="16">
        <f>SUM(P18:P20)</f>
        <v>27.75</v>
      </c>
    </row>
    <row r="19" spans="2:17" x14ac:dyDescent="0.35">
      <c r="F19" s="2">
        <v>1</v>
      </c>
      <c r="H19" t="s">
        <v>33</v>
      </c>
      <c r="J19" t="s">
        <v>42</v>
      </c>
      <c r="K19" t="s">
        <v>43</v>
      </c>
      <c r="L19" t="s">
        <v>6</v>
      </c>
      <c r="M19" s="5" t="s">
        <v>41</v>
      </c>
      <c r="O19" s="4">
        <v>27.75</v>
      </c>
      <c r="P19" s="4">
        <f t="shared" ref="P19" si="3">F19*O19</f>
        <v>27.75</v>
      </c>
      <c r="Q19" s="7"/>
    </row>
    <row r="21" spans="2:17" x14ac:dyDescent="0.35">
      <c r="B21" s="17" t="s">
        <v>47</v>
      </c>
      <c r="C21" s="17"/>
      <c r="D21" s="17"/>
      <c r="E21" s="17"/>
      <c r="F21" s="18"/>
      <c r="G21" s="19"/>
      <c r="H21" s="20"/>
      <c r="I21" s="20"/>
      <c r="J21" s="20"/>
      <c r="K21" s="20"/>
      <c r="L21" s="20"/>
      <c r="M21" s="20"/>
      <c r="N21" s="20"/>
      <c r="O21" s="21"/>
      <c r="P21" s="20"/>
      <c r="Q21" s="21">
        <f>SUM(Q3:Q20)</f>
        <v>94.828374999999994</v>
      </c>
    </row>
  </sheetData>
  <hyperlinks>
    <hyperlink ref="M8" r:id="rId1" xr:uid="{B7D35B06-F237-49E1-B057-7AB816CFF04D}"/>
    <hyperlink ref="M7" r:id="rId2" xr:uid="{C53D1457-35BE-4DF4-9C12-641D24DC8828}"/>
    <hyperlink ref="M5" r:id="rId3" xr:uid="{3AED3022-B9A9-43BE-93EC-7EF449C6A895}"/>
    <hyperlink ref="M9" r:id="rId4" xr:uid="{774E71D1-B2FF-4693-8BBC-23C6FC596D79}"/>
    <hyperlink ref="M13" r:id="rId5" xr:uid="{0A8C1BB0-EE7A-423D-A7A3-9DA56F9C5B95}"/>
    <hyperlink ref="M19" r:id="rId6" xr:uid="{4943A98A-4350-4A7C-B056-1F7F9D5468F1}"/>
    <hyperlink ref="M16" r:id="rId7" xr:uid="{2E3B58F8-C580-4DF0-B6A0-1BFEB6175F83}"/>
  </hyperlinks>
  <pageMargins left="0.25" right="0.25" top="0.75" bottom="0.75" header="0.3" footer="0.3"/>
  <pageSetup scale="10" orientation="landscape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Wiley</dc:creator>
  <cp:lastModifiedBy>George Wiley</cp:lastModifiedBy>
  <cp:lastPrinted>2025-04-06T18:06:23Z</cp:lastPrinted>
  <dcterms:created xsi:type="dcterms:W3CDTF">2023-08-11T05:23:19Z</dcterms:created>
  <dcterms:modified xsi:type="dcterms:W3CDTF">2026-03-26T16:07:53Z</dcterms:modified>
</cp:coreProperties>
</file>